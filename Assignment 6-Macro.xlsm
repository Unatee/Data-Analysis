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Excelr\Uploaded Assignments\Completedones\"/>
    </mc:Choice>
  </mc:AlternateContent>
  <xr:revisionPtr revIDLastSave="0" documentId="8_{E34674C1-A6F8-4DD6-AD44-69150A9211CC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Record Macro" sheetId="1" r:id="rId1"/>
    <sheet name="Joinee_Form" sheetId="2" r:id="rId2"/>
    <sheet name="Joine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J42" i="1"/>
  <c r="K42" i="1" s="1"/>
  <c r="H9" i="1"/>
  <c r="P19" i="1"/>
  <c r="I13" i="1" l="1"/>
  <c r="I28" i="1"/>
  <c r="G15" i="1"/>
</calcChain>
</file>

<file path=xl/sharedStrings.xml><?xml version="1.0" encoding="utf-8"?>
<sst xmlns="http://schemas.openxmlformats.org/spreadsheetml/2006/main" count="83" uniqueCount="52">
  <si>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</si>
  <si>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</si>
  <si>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</si>
  <si>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</si>
  <si>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</si>
  <si>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</si>
  <si>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</si>
  <si>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</si>
  <si>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</si>
  <si>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</si>
  <si>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</si>
  <si>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</si>
  <si>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</si>
  <si>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</si>
  <si>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</si>
  <si>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</si>
  <si>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</si>
  <si>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</si>
  <si>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</si>
  <si>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</si>
  <si>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</si>
  <si>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% Profit</t>
  </si>
  <si>
    <t>NEW FORM</t>
  </si>
  <si>
    <t>NAME</t>
  </si>
  <si>
    <t>AGE</t>
  </si>
  <si>
    <t>GENDER</t>
  </si>
  <si>
    <t>PHONE NUMBER</t>
  </si>
  <si>
    <t>EMAIL ID</t>
  </si>
  <si>
    <t>COURSE</t>
  </si>
  <si>
    <t>MODE</t>
  </si>
  <si>
    <t>ADDRESS</t>
  </si>
  <si>
    <t>DA</t>
  </si>
  <si>
    <t>DS</t>
  </si>
  <si>
    <t>DA+DS</t>
  </si>
  <si>
    <t>NAME:</t>
  </si>
  <si>
    <t>AGE:</t>
  </si>
  <si>
    <t>GENDER:</t>
  </si>
  <si>
    <t>PHONE NUMBER:</t>
  </si>
  <si>
    <t>EMAIL ID:</t>
  </si>
  <si>
    <t>COURSE:</t>
  </si>
  <si>
    <t>MODE:</t>
  </si>
  <si>
    <t>ADDRESS:</t>
  </si>
  <si>
    <t>=</t>
  </si>
  <si>
    <t>APPLICATION NUMBER</t>
  </si>
  <si>
    <t>APPLICATION NUMBER:</t>
  </si>
  <si>
    <t>dsvsdv</t>
  </si>
  <si>
    <t>sdvsdv</t>
  </si>
  <si>
    <t>FEMALE</t>
  </si>
  <si>
    <t>dvsdv</t>
  </si>
  <si>
    <t>scasc</t>
  </si>
  <si>
    <t>OFFLINE</t>
  </si>
  <si>
    <t>dvzdsvazv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</si>
</sst>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sz val="1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0" fillId="2" borderId="0" xfId="0" applyFill="1"/>
    <xf numFmtId="0" fontId="6" fillId="2" borderId="0" xfId="0" applyFont="1" applyFill="1"/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6" fillId="3" borderId="0" xfId="0" applyFont="1" applyFill="1"/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1" fillId="3" borderId="0" xfId="0" applyFont="1" applyFill="1"/>
    <xf numFmtId="0" fontId="4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5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502920</xdr:colOff>
      <xdr:row>8</xdr:row>
      <xdr:rowOff>106680</xdr:rowOff>
    </xdr:from>
    <xdr:to>
      <xdr:col>15</xdr:col>
      <xdr:colOff>175260</xdr:colOff>
      <xdr:row>11</xdr:row>
      <xdr:rowOff>68580</xdr:rowOff>
    </xdr:to>
    <xdr:sp macro="[0]!CALCULATE" textlink="">
      <xdr:nvSpPr>
        <xdr:cNvPr id="2" name="Oval 1">
          <a:extLst>
            <a:ext uri="{FF2B5EF4-FFF2-40B4-BE49-F238E27FC236}">
              <a16:creationId xmlns:a16="http://schemas.microsoft.com/office/drawing/2014/main" id="{8E27DE70-A3E9-B1A6-033E-E73E54A3B332}"/>
            </a:ext>
          </a:extLst>
        </xdr:cNvPr>
        <xdr:cNvSpPr/>
      </xdr:nvSpPr>
      <xdr:spPr>
        <a:xfrm>
          <a:off x="10706100" y="1569720"/>
          <a:ext cx="1501140" cy="51054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519953</xdr:colOff>
      <xdr:row>26</xdr:row>
      <xdr:rowOff>116541</xdr:rowOff>
    </xdr:from>
    <xdr:to>
      <xdr:col>6</xdr:col>
      <xdr:colOff>107577</xdr:colOff>
      <xdr:row>28</xdr:row>
      <xdr:rowOff>98612</xdr:rowOff>
    </xdr:to>
    <xdr:sp macro="[0]!SUBM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CCF27E-D299-4D31-1BCC-C86000926373}"/>
            </a:ext>
          </a:extLst>
        </xdr:cNvPr>
        <xdr:cNvSpPr/>
      </xdr:nvSpPr>
      <xdr:spPr>
        <a:xfrm>
          <a:off x="2958353" y="4688541"/>
          <a:ext cx="1532965" cy="3406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P43"/>
  <sheetViews>
    <sheetView tabSelected="1" workbookViewId="0">
      <selection activeCell="D50" sqref="D50"/>
    </sheetView>
  </sheetViews>
  <sheetFormatPr defaultRowHeight="14.4" x14ac:dyDescent="0.3"/>
  <cols>
    <col min="4" max="4" width="12" bestFit="1" customWidth="1"/>
    <col min="5" max="5" width="18" bestFit="1" customWidth="1"/>
    <col min="6" max="6" width="10.109375" bestFit="1" customWidth="1"/>
    <col min="7" max="7" width="11.77734375" bestFit="1" customWidth="1"/>
    <col min="8" max="8" width="18" style="2" bestFit="1" customWidth="1"/>
    <col min="9" max="9" width="20.33203125" style="19" bestFit="1" customWidth="1"/>
    <col min="10" max="10" width="11.77734375" style="2" customWidth="1"/>
    <col min="11" max="11" width="11.21875" style="3" customWidth="1"/>
  </cols>
  <sheetData>
    <row r="1" spans="3:11" x14ac:dyDescent="0.3">
      <c r="H1"/>
      <c r="I1"/>
      <c r="J1"/>
      <c r="K1"/>
    </row>
    <row r="2" spans="3:11" x14ac:dyDescent="0.3">
      <c r="C2" s="1" t="s">
        <v>0</v>
      </c>
      <c r="H2"/>
      <c r="I2" s="1" t="s">
        <v>19</v>
      </c>
      <c r="J2"/>
      <c r="K2"/>
    </row>
    <row r="3" spans="3:11" x14ac:dyDescent="0.3">
      <c r="C3" s="1" t="s">
        <v>1</v>
      </c>
      <c r="H3"/>
      <c r="I3"/>
      <c r="J3"/>
      <c r="K3"/>
    </row>
    <row r="4" spans="3:11" x14ac:dyDescent="0.3">
      <c r="C4" s="1" t="s">
        <v>16</v>
      </c>
      <c r="H4"/>
      <c r="I4"/>
      <c r="J4"/>
      <c r="K4"/>
    </row>
    <row r="5" spans="3:11" x14ac:dyDescent="0.3">
      <c r="C5" s="1" t="s">
        <v>17</v>
      </c>
      <c r="H5"/>
      <c r="I5"/>
      <c r="J5"/>
      <c r="K5"/>
    </row>
    <row r="6" spans="3:11" x14ac:dyDescent="0.3">
      <c r="C6" s="1" t="s">
        <v>18</v>
      </c>
      <c r="H6"/>
      <c r="I6"/>
      <c r="J6"/>
      <c r="K6"/>
    </row>
    <row r="7" spans="3:11" x14ac:dyDescent="0.3">
      <c r="H7"/>
      <c r="I7"/>
      <c r="J7"/>
      <c r="K7"/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 s="2">
        <v>2.84</v>
      </c>
      <c r="G9" s="2">
        <v>0.93</v>
      </c>
      <c r="H9" s="2">
        <f>$E9*$F9</f>
        <v>11.36</v>
      </c>
      <c r="I9">
        <v>0.54</v>
      </c>
      <c r="J9" s="2">
        <f>(E9*I9)-G9</f>
        <v>1.23</v>
      </c>
      <c r="K9" s="3">
        <f>J9/H9</f>
        <v>0.10827464788732395</v>
      </c>
    </row>
    <row r="10" spans="3:11" x14ac:dyDescent="0.3">
      <c r="C10">
        <v>20228</v>
      </c>
      <c r="D10" t="s">
        <v>6</v>
      </c>
      <c r="E10">
        <v>12</v>
      </c>
      <c r="F10" s="2">
        <v>500.98</v>
      </c>
      <c r="G10" s="2">
        <v>26</v>
      </c>
      <c r="H10" s="2">
        <f t="shared" ref="H10:H41" si="0">$E10*$F10</f>
        <v>6011.76</v>
      </c>
      <c r="I10">
        <v>0.6</v>
      </c>
      <c r="J10" s="2">
        <f t="shared" ref="J10:J41" si="1">(E10*I10)-G10</f>
        <v>-18.8</v>
      </c>
      <c r="K10" s="3">
        <f t="shared" ref="K10:K41" si="2">J10/H10</f>
        <v>-3.1272040134669382E-3</v>
      </c>
    </row>
    <row r="11" spans="3:11" x14ac:dyDescent="0.3">
      <c r="C11">
        <v>21776</v>
      </c>
      <c r="D11" t="s">
        <v>7</v>
      </c>
      <c r="E11">
        <v>22</v>
      </c>
      <c r="F11" s="2">
        <v>9.48</v>
      </c>
      <c r="G11" s="2">
        <v>7.29</v>
      </c>
      <c r="H11" s="2">
        <f t="shared" si="0"/>
        <v>208.56</v>
      </c>
      <c r="I11">
        <v>0.45</v>
      </c>
      <c r="J11" s="2">
        <f t="shared" si="1"/>
        <v>2.6100000000000003</v>
      </c>
      <c r="K11" s="3">
        <f t="shared" si="2"/>
        <v>1.2514384349827389E-2</v>
      </c>
    </row>
    <row r="12" spans="3:11" x14ac:dyDescent="0.3">
      <c r="C12">
        <v>24844</v>
      </c>
      <c r="D12" t="s">
        <v>8</v>
      </c>
      <c r="E12">
        <v>16</v>
      </c>
      <c r="F12" s="2">
        <v>78.69</v>
      </c>
      <c r="G12" s="2">
        <v>19.989999999999998</v>
      </c>
      <c r="H12" s="2">
        <f t="shared" si="0"/>
        <v>1259.04</v>
      </c>
      <c r="I12">
        <v>0.43</v>
      </c>
      <c r="J12" s="2">
        <f t="shared" si="1"/>
        <v>-13.11</v>
      </c>
      <c r="K12" s="3">
        <f t="shared" si="2"/>
        <v>-1.0412695386961494E-2</v>
      </c>
    </row>
    <row r="13" spans="3:11" x14ac:dyDescent="0.3">
      <c r="C13">
        <v>24846</v>
      </c>
      <c r="D13" t="s">
        <v>8</v>
      </c>
      <c r="E13">
        <v>7</v>
      </c>
      <c r="F13" s="2">
        <v>3.28</v>
      </c>
      <c r="G13" s="2">
        <v>2.31</v>
      </c>
      <c r="H13" s="2">
        <f t="shared" si="0"/>
        <v>22.959999999999997</v>
      </c>
      <c r="I13">
        <f>F13*G13</f>
        <v>7.5767999999999995</v>
      </c>
      <c r="J13" s="2">
        <f t="shared" si="1"/>
        <v>50.727599999999995</v>
      </c>
      <c r="K13" s="3">
        <f t="shared" si="2"/>
        <v>2.2093902439024391</v>
      </c>
    </row>
    <row r="14" spans="3:11" x14ac:dyDescent="0.3">
      <c r="C14">
        <v>24847</v>
      </c>
      <c r="D14" t="s">
        <v>8</v>
      </c>
      <c r="E14">
        <v>4</v>
      </c>
      <c r="F14" s="2">
        <v>3.28</v>
      </c>
      <c r="G14" s="2">
        <v>4.2</v>
      </c>
      <c r="H14" s="2">
        <f t="shared" si="0"/>
        <v>13.12</v>
      </c>
      <c r="I14">
        <v>0.56000000000000005</v>
      </c>
      <c r="J14" s="2">
        <f t="shared" si="1"/>
        <v>-1.96</v>
      </c>
      <c r="K14" s="3">
        <f t="shared" si="2"/>
        <v>-0.14939024390243902</v>
      </c>
    </row>
    <row r="15" spans="3:11" x14ac:dyDescent="0.3">
      <c r="C15">
        <v>24848</v>
      </c>
      <c r="D15" t="s">
        <v>8</v>
      </c>
      <c r="E15">
        <v>4</v>
      </c>
      <c r="F15" s="2">
        <v>3.58</v>
      </c>
      <c r="G15" s="2">
        <f>$E15*$F15</f>
        <v>14.32</v>
      </c>
      <c r="H15" s="2">
        <f t="shared" si="0"/>
        <v>14.32</v>
      </c>
      <c r="I15">
        <v>0.36</v>
      </c>
      <c r="J15" s="2">
        <f t="shared" si="1"/>
        <v>-12.88</v>
      </c>
      <c r="K15" s="3">
        <f t="shared" si="2"/>
        <v>-0.8994413407821229</v>
      </c>
    </row>
    <row r="16" spans="3:11" x14ac:dyDescent="0.3">
      <c r="C16">
        <v>18181</v>
      </c>
      <c r="D16" t="s">
        <v>7</v>
      </c>
      <c r="E16">
        <v>7</v>
      </c>
      <c r="F16" s="2">
        <v>4.42</v>
      </c>
      <c r="G16" s="2">
        <v>4.99</v>
      </c>
      <c r="H16" s="2">
        <f t="shared" si="0"/>
        <v>30.939999999999998</v>
      </c>
      <c r="I16">
        <v>0.38</v>
      </c>
      <c r="J16" s="2">
        <f t="shared" si="1"/>
        <v>-2.33</v>
      </c>
      <c r="K16" s="3">
        <f t="shared" si="2"/>
        <v>-7.5307045895281199E-2</v>
      </c>
    </row>
    <row r="17" spans="3:16" x14ac:dyDescent="0.3">
      <c r="C17">
        <v>20925</v>
      </c>
      <c r="D17" t="s">
        <v>8</v>
      </c>
      <c r="E17">
        <v>10</v>
      </c>
      <c r="F17" s="2">
        <v>35.94</v>
      </c>
      <c r="G17" s="2">
        <v>6.66</v>
      </c>
      <c r="H17" s="2">
        <f t="shared" si="0"/>
        <v>359.4</v>
      </c>
      <c r="I17">
        <v>0.4</v>
      </c>
      <c r="J17" s="2">
        <f t="shared" si="1"/>
        <v>-2.66</v>
      </c>
      <c r="K17" s="3">
        <f t="shared" si="2"/>
        <v>-7.4012242626599898E-3</v>
      </c>
    </row>
    <row r="18" spans="3:16" x14ac:dyDescent="0.3">
      <c r="C18">
        <v>26267</v>
      </c>
      <c r="D18" t="s">
        <v>5</v>
      </c>
      <c r="E18">
        <v>6</v>
      </c>
      <c r="F18" s="2">
        <v>2.98</v>
      </c>
      <c r="G18" s="2">
        <v>1.58</v>
      </c>
      <c r="H18" s="2">
        <f t="shared" si="0"/>
        <v>17.88</v>
      </c>
      <c r="I18">
        <v>0.39</v>
      </c>
      <c r="J18" s="2">
        <f t="shared" si="1"/>
        <v>0.75999999999999979</v>
      </c>
      <c r="K18" s="3">
        <f t="shared" si="2"/>
        <v>4.25055928411633E-2</v>
      </c>
    </row>
    <row r="19" spans="3:16" x14ac:dyDescent="0.3">
      <c r="C19">
        <v>26268</v>
      </c>
      <c r="D19" t="s">
        <v>5</v>
      </c>
      <c r="E19">
        <v>10</v>
      </c>
      <c r="F19" s="2">
        <v>115.99</v>
      </c>
      <c r="G19" s="2">
        <v>2.5</v>
      </c>
      <c r="H19" s="2">
        <f t="shared" si="0"/>
        <v>1159.8999999999999</v>
      </c>
      <c r="I19">
        <v>0.55000000000000004</v>
      </c>
      <c r="J19" s="2">
        <f t="shared" si="1"/>
        <v>3</v>
      </c>
      <c r="K19" s="3">
        <f t="shared" si="2"/>
        <v>2.5864298646435043E-3</v>
      </c>
      <c r="P19">
        <f>M19*N19</f>
        <v>0</v>
      </c>
    </row>
    <row r="20" spans="3:16" x14ac:dyDescent="0.3">
      <c r="C20">
        <v>23890</v>
      </c>
      <c r="D20" t="s">
        <v>5</v>
      </c>
      <c r="E20">
        <v>17</v>
      </c>
      <c r="F20" s="2">
        <v>26.48</v>
      </c>
      <c r="G20" s="2">
        <v>6.93</v>
      </c>
      <c r="H20" s="2">
        <f t="shared" si="0"/>
        <v>450.16</v>
      </c>
      <c r="I20">
        <v>0.49</v>
      </c>
      <c r="J20" s="2">
        <f t="shared" si="1"/>
        <v>1.4000000000000004</v>
      </c>
      <c r="K20" s="3">
        <f t="shared" si="2"/>
        <v>3.1100053314377118E-3</v>
      </c>
    </row>
    <row r="21" spans="3:16" x14ac:dyDescent="0.3">
      <c r="C21">
        <v>24063</v>
      </c>
      <c r="D21" t="s">
        <v>6</v>
      </c>
      <c r="E21">
        <v>18</v>
      </c>
      <c r="F21" s="2">
        <v>12.99</v>
      </c>
      <c r="G21" s="2">
        <v>9.44</v>
      </c>
      <c r="H21" s="2">
        <f t="shared" si="0"/>
        <v>233.82</v>
      </c>
      <c r="I21">
        <v>0.39</v>
      </c>
      <c r="J21" s="2">
        <f t="shared" si="1"/>
        <v>-2.419999999999999</v>
      </c>
      <c r="K21" s="3">
        <f t="shared" si="2"/>
        <v>-1.0349841758617737E-2</v>
      </c>
    </row>
    <row r="22" spans="3:16" x14ac:dyDescent="0.3">
      <c r="C22">
        <v>5890</v>
      </c>
      <c r="D22" t="s">
        <v>5</v>
      </c>
      <c r="E22">
        <v>70</v>
      </c>
      <c r="F22" s="2">
        <v>26.48</v>
      </c>
      <c r="G22" s="2">
        <v>6.93</v>
      </c>
      <c r="H22" s="2">
        <f t="shared" si="0"/>
        <v>1853.6000000000001</v>
      </c>
      <c r="I22">
        <v>0.49</v>
      </c>
      <c r="J22" s="2">
        <f t="shared" si="1"/>
        <v>27.369999999999997</v>
      </c>
      <c r="K22" s="3">
        <f t="shared" si="2"/>
        <v>1.476586102719033E-2</v>
      </c>
    </row>
    <row r="23" spans="3:16" x14ac:dyDescent="0.3">
      <c r="C23">
        <v>6062</v>
      </c>
      <c r="D23" t="s">
        <v>6</v>
      </c>
      <c r="E23">
        <v>58</v>
      </c>
      <c r="F23" s="2">
        <v>5</v>
      </c>
      <c r="G23" s="2">
        <v>3.39</v>
      </c>
      <c r="H23" s="2">
        <f t="shared" si="0"/>
        <v>290</v>
      </c>
      <c r="I23">
        <v>0.37</v>
      </c>
      <c r="J23" s="2">
        <f t="shared" si="1"/>
        <v>18.07</v>
      </c>
      <c r="K23" s="3">
        <f t="shared" si="2"/>
        <v>6.2310344827586205E-2</v>
      </c>
    </row>
    <row r="24" spans="3:16" x14ac:dyDescent="0.3">
      <c r="C24">
        <v>6063</v>
      </c>
      <c r="D24" t="s">
        <v>6</v>
      </c>
      <c r="E24">
        <v>71</v>
      </c>
      <c r="F24" s="2">
        <v>12.99</v>
      </c>
      <c r="G24" s="2">
        <v>9.44</v>
      </c>
      <c r="H24" s="2">
        <f t="shared" si="0"/>
        <v>922.29</v>
      </c>
      <c r="I24">
        <v>0.39</v>
      </c>
      <c r="J24" s="2">
        <f t="shared" si="1"/>
        <v>18.25</v>
      </c>
      <c r="K24" s="3">
        <f t="shared" si="2"/>
        <v>1.9787702349586357E-2</v>
      </c>
    </row>
    <row r="25" spans="3:16" x14ac:dyDescent="0.3">
      <c r="C25">
        <v>20631</v>
      </c>
      <c r="D25" t="s">
        <v>5</v>
      </c>
      <c r="E25">
        <v>1</v>
      </c>
      <c r="F25" s="2">
        <v>55.48</v>
      </c>
      <c r="G25" s="2">
        <v>14.3</v>
      </c>
      <c r="H25" s="2">
        <f t="shared" si="0"/>
        <v>55.48</v>
      </c>
      <c r="I25">
        <v>0.37</v>
      </c>
      <c r="J25" s="2">
        <f t="shared" si="1"/>
        <v>-13.930000000000001</v>
      </c>
      <c r="K25" s="3">
        <f t="shared" si="2"/>
        <v>-0.25108147080028842</v>
      </c>
    </row>
    <row r="26" spans="3:16" x14ac:dyDescent="0.3">
      <c r="C26">
        <v>20632</v>
      </c>
      <c r="D26" t="s">
        <v>5</v>
      </c>
      <c r="E26">
        <v>1</v>
      </c>
      <c r="F26" s="2">
        <v>1.68</v>
      </c>
      <c r="G26" s="2">
        <v>1.57</v>
      </c>
      <c r="H26" s="2">
        <f t="shared" si="0"/>
        <v>1.68</v>
      </c>
      <c r="I26">
        <v>0.59</v>
      </c>
      <c r="J26" s="2">
        <f t="shared" si="1"/>
        <v>-0.98000000000000009</v>
      </c>
      <c r="K26" s="3">
        <f t="shared" si="2"/>
        <v>-0.58333333333333337</v>
      </c>
    </row>
    <row r="27" spans="3:16" x14ac:dyDescent="0.3">
      <c r="C27">
        <v>23967</v>
      </c>
      <c r="D27" t="s">
        <v>6</v>
      </c>
      <c r="E27">
        <v>12</v>
      </c>
      <c r="F27" s="2">
        <v>4.1399999999999997</v>
      </c>
      <c r="G27" s="2">
        <v>6.6</v>
      </c>
      <c r="H27" s="2">
        <f t="shared" si="0"/>
        <v>49.679999999999993</v>
      </c>
      <c r="I27">
        <v>0.49</v>
      </c>
      <c r="J27" s="2">
        <f t="shared" si="1"/>
        <v>-0.71999999999999975</v>
      </c>
      <c r="K27" s="3">
        <f t="shared" si="2"/>
        <v>-1.4492753623188403E-2</v>
      </c>
    </row>
    <row r="28" spans="3:16" x14ac:dyDescent="0.3">
      <c r="C28">
        <v>23509</v>
      </c>
      <c r="D28" t="s">
        <v>5</v>
      </c>
      <c r="E28">
        <v>13</v>
      </c>
      <c r="F28" s="2">
        <v>34.99</v>
      </c>
      <c r="G28" s="2">
        <v>7.73</v>
      </c>
      <c r="H28" s="2">
        <f t="shared" si="0"/>
        <v>454.87</v>
      </c>
      <c r="I28">
        <f>$E28*$F28</f>
        <v>454.87</v>
      </c>
      <c r="J28" s="2">
        <f t="shared" si="1"/>
        <v>5905.5800000000008</v>
      </c>
      <c r="K28" s="3">
        <f t="shared" si="2"/>
        <v>12.983006133620597</v>
      </c>
    </row>
    <row r="29" spans="3:16" x14ac:dyDescent="0.3">
      <c r="C29">
        <v>23612</v>
      </c>
      <c r="D29" t="s">
        <v>5</v>
      </c>
      <c r="E29">
        <v>2</v>
      </c>
      <c r="F29" s="2">
        <v>17.98</v>
      </c>
      <c r="G29" s="2">
        <v>8.51</v>
      </c>
      <c r="H29" s="2">
        <f t="shared" si="0"/>
        <v>35.96</v>
      </c>
      <c r="I29">
        <v>0.4</v>
      </c>
      <c r="J29" s="2">
        <f t="shared" si="1"/>
        <v>-7.71</v>
      </c>
      <c r="K29" s="3">
        <f t="shared" si="2"/>
        <v>-0.21440489432703003</v>
      </c>
    </row>
    <row r="30" spans="3:16" x14ac:dyDescent="0.3">
      <c r="C30">
        <v>23278</v>
      </c>
      <c r="D30" t="s">
        <v>8</v>
      </c>
      <c r="E30">
        <v>8</v>
      </c>
      <c r="F30" s="2">
        <v>125.99</v>
      </c>
      <c r="G30" s="2">
        <v>7.69</v>
      </c>
      <c r="H30" s="2">
        <f t="shared" si="0"/>
        <v>1007.92</v>
      </c>
      <c r="I30">
        <v>0.59</v>
      </c>
      <c r="J30" s="2">
        <f t="shared" si="1"/>
        <v>-2.9700000000000006</v>
      </c>
      <c r="K30" s="3">
        <f t="shared" si="2"/>
        <v>-2.9466624335264713E-3</v>
      </c>
    </row>
    <row r="31" spans="3:16" x14ac:dyDescent="0.3">
      <c r="C31">
        <v>19355</v>
      </c>
      <c r="D31" t="s">
        <v>9</v>
      </c>
      <c r="E31">
        <v>22</v>
      </c>
      <c r="F31" s="2">
        <v>205.99</v>
      </c>
      <c r="G31" s="2">
        <v>8.99</v>
      </c>
      <c r="H31" s="2">
        <f t="shared" si="0"/>
        <v>4531.7800000000007</v>
      </c>
      <c r="I31">
        <v>0.56000000000000005</v>
      </c>
      <c r="J31" s="2">
        <f t="shared" si="1"/>
        <v>3.33</v>
      </c>
      <c r="K31" s="3">
        <f t="shared" si="2"/>
        <v>7.3481060422174059E-4</v>
      </c>
    </row>
    <row r="32" spans="3:16" x14ac:dyDescent="0.3">
      <c r="C32">
        <v>23654</v>
      </c>
      <c r="D32" t="s">
        <v>6</v>
      </c>
      <c r="E32">
        <v>13</v>
      </c>
      <c r="F32" s="2">
        <v>4.24</v>
      </c>
      <c r="G32" s="2">
        <v>5.41</v>
      </c>
      <c r="H32" s="2">
        <f t="shared" si="0"/>
        <v>55.120000000000005</v>
      </c>
      <c r="I32">
        <v>0.35</v>
      </c>
      <c r="J32" s="2">
        <f t="shared" si="1"/>
        <v>-0.86000000000000032</v>
      </c>
      <c r="K32" s="3">
        <f t="shared" si="2"/>
        <v>-1.5602322206095795E-2</v>
      </c>
    </row>
    <row r="33" spans="3:11" x14ac:dyDescent="0.3">
      <c r="C33">
        <v>23655</v>
      </c>
      <c r="D33" t="s">
        <v>6</v>
      </c>
      <c r="E33">
        <v>18</v>
      </c>
      <c r="F33" s="2">
        <v>2.94</v>
      </c>
      <c r="G33" s="2">
        <v>0.7</v>
      </c>
      <c r="H33" s="2">
        <f t="shared" si="0"/>
        <v>52.92</v>
      </c>
      <c r="I33">
        <v>0.57999999999999996</v>
      </c>
      <c r="J33" s="2">
        <f t="shared" si="1"/>
        <v>9.74</v>
      </c>
      <c r="K33" s="3">
        <f t="shared" si="2"/>
        <v>0.18405139833711262</v>
      </c>
    </row>
    <row r="34" spans="3:11" x14ac:dyDescent="0.3">
      <c r="C34">
        <v>25933</v>
      </c>
      <c r="D34" t="s">
        <v>5</v>
      </c>
      <c r="E34">
        <v>6</v>
      </c>
      <c r="F34" s="2">
        <v>99.99</v>
      </c>
      <c r="G34" s="2">
        <v>19.989999999999998</v>
      </c>
      <c r="H34" s="2">
        <f t="shared" si="0"/>
        <v>599.93999999999994</v>
      </c>
      <c r="I34">
        <v>0.52</v>
      </c>
      <c r="J34" s="2">
        <f t="shared" si="1"/>
        <v>-16.869999999999997</v>
      </c>
      <c r="K34" s="3">
        <f t="shared" si="2"/>
        <v>-2.8119478614528119E-2</v>
      </c>
    </row>
    <row r="35" spans="3:11" x14ac:dyDescent="0.3">
      <c r="C35">
        <v>20697</v>
      </c>
      <c r="D35" t="s">
        <v>8</v>
      </c>
      <c r="E35">
        <v>6</v>
      </c>
      <c r="F35" s="2">
        <v>115.99</v>
      </c>
      <c r="G35" s="2">
        <v>2.5</v>
      </c>
      <c r="H35" s="2">
        <f t="shared" si="0"/>
        <v>695.93999999999994</v>
      </c>
      <c r="I35">
        <v>0.56999999999999995</v>
      </c>
      <c r="J35" s="2">
        <f t="shared" si="1"/>
        <v>0.91999999999999993</v>
      </c>
      <c r="K35" s="3">
        <f t="shared" si="2"/>
        <v>1.321953041928902E-3</v>
      </c>
    </row>
    <row r="36" spans="3:11" x14ac:dyDescent="0.3">
      <c r="C36">
        <v>20698</v>
      </c>
      <c r="D36" t="s">
        <v>8</v>
      </c>
      <c r="E36">
        <v>1</v>
      </c>
      <c r="F36" s="2">
        <v>3502.14</v>
      </c>
      <c r="G36" s="2">
        <v>8.73</v>
      </c>
      <c r="H36" s="2">
        <f t="shared" si="0"/>
        <v>3502.14</v>
      </c>
      <c r="I36">
        <v>0.56999999999999995</v>
      </c>
      <c r="J36" s="2">
        <f t="shared" si="1"/>
        <v>-8.16</v>
      </c>
      <c r="K36" s="3">
        <f t="shared" si="2"/>
        <v>-2.3300039404478405E-3</v>
      </c>
    </row>
    <row r="37" spans="3:11" x14ac:dyDescent="0.3">
      <c r="C37">
        <v>22890</v>
      </c>
      <c r="D37" t="s">
        <v>5</v>
      </c>
      <c r="E37">
        <v>17</v>
      </c>
      <c r="F37" s="2">
        <v>175.99</v>
      </c>
      <c r="G37" s="2">
        <v>5.79</v>
      </c>
      <c r="H37" s="2">
        <f t="shared" si="0"/>
        <v>2991.83</v>
      </c>
      <c r="I37">
        <v>0.36</v>
      </c>
      <c r="J37" s="2">
        <f t="shared" si="1"/>
        <v>0.33000000000000007</v>
      </c>
      <c r="K37" s="3">
        <f t="shared" si="2"/>
        <v>1.1030038471437217E-4</v>
      </c>
    </row>
    <row r="38" spans="3:11" x14ac:dyDescent="0.3">
      <c r="C38">
        <v>25354</v>
      </c>
      <c r="D38" t="s">
        <v>5</v>
      </c>
      <c r="E38">
        <v>20</v>
      </c>
      <c r="F38" s="2">
        <v>155.06</v>
      </c>
      <c r="G38" s="2">
        <v>1.49</v>
      </c>
      <c r="H38" s="2">
        <f t="shared" si="0"/>
        <v>3101.2</v>
      </c>
      <c r="I38">
        <v>0.38</v>
      </c>
      <c r="J38" s="2">
        <f t="shared" si="1"/>
        <v>6.1099999999999994</v>
      </c>
      <c r="K38" s="3">
        <f t="shared" si="2"/>
        <v>1.9702050819037789E-3</v>
      </c>
    </row>
    <row r="39" spans="3:11" x14ac:dyDescent="0.3">
      <c r="C39">
        <v>21017</v>
      </c>
      <c r="D39" t="s">
        <v>6</v>
      </c>
      <c r="E39">
        <v>17</v>
      </c>
      <c r="F39" s="2">
        <v>5.98</v>
      </c>
      <c r="G39" s="2">
        <v>0.7</v>
      </c>
      <c r="H39" s="2">
        <f t="shared" si="0"/>
        <v>101.66000000000001</v>
      </c>
      <c r="I39">
        <v>0.56000000000000005</v>
      </c>
      <c r="J39" s="2">
        <f t="shared" si="1"/>
        <v>8.8200000000000021</v>
      </c>
      <c r="K39" s="3">
        <f t="shared" si="2"/>
        <v>8.6759787527050963E-2</v>
      </c>
    </row>
    <row r="40" spans="3:11" x14ac:dyDescent="0.3">
      <c r="C40">
        <v>21019</v>
      </c>
      <c r="D40" t="s">
        <v>6</v>
      </c>
      <c r="E40">
        <v>3</v>
      </c>
      <c r="F40" s="2">
        <v>29.14</v>
      </c>
      <c r="G40" s="2">
        <v>5.15</v>
      </c>
      <c r="H40" s="2">
        <f t="shared" si="0"/>
        <v>87.42</v>
      </c>
      <c r="I40">
        <v>0.36</v>
      </c>
      <c r="J40" s="2">
        <f t="shared" si="1"/>
        <v>-4.07</v>
      </c>
      <c r="K40" s="3">
        <f t="shared" si="2"/>
        <v>-4.6556851978952186E-2</v>
      </c>
    </row>
    <row r="41" spans="3:11" x14ac:dyDescent="0.3">
      <c r="C41">
        <v>23274</v>
      </c>
      <c r="D41" t="s">
        <v>9</v>
      </c>
      <c r="E41">
        <v>17</v>
      </c>
      <c r="F41" s="2">
        <v>3.69</v>
      </c>
      <c r="G41" s="2">
        <v>4.8600000000000003</v>
      </c>
      <c r="H41" s="2">
        <f t="shared" si="0"/>
        <v>62.73</v>
      </c>
      <c r="I41">
        <v>0.38</v>
      </c>
      <c r="J41" s="2">
        <f t="shared" si="1"/>
        <v>1.5999999999999996</v>
      </c>
      <c r="K41" s="3">
        <f t="shared" si="2"/>
        <v>2.5506137414315316E-2</v>
      </c>
    </row>
    <row r="42" spans="3:11" x14ac:dyDescent="0.3">
      <c r="C42">
        <v>24454</v>
      </c>
      <c r="D42" t="s">
        <v>9</v>
      </c>
      <c r="E42">
        <v>16</v>
      </c>
      <c r="F42" s="2">
        <v>5.48</v>
      </c>
      <c r="G42" s="2">
        <v>2.56</v>
      </c>
      <c r="H42" s="2">
        <f>$E42*$F42</f>
        <v>87.68</v>
      </c>
      <c r="I42" s="19">
        <v>0.59</v>
      </c>
      <c r="J42" s="2">
        <f t="shared" ref="J42" si="3">(E42*I42)-G42</f>
        <v>6.879999999999999</v>
      </c>
      <c r="K42" s="3">
        <f t="shared" ref="K42" si="4">J42/H42</f>
        <v>7.846715328467152E-2</v>
      </c>
    </row>
    <row r="43" spans="3:11" x14ac:dyDescent="0.3">
      <c r="F43" s="2"/>
      <c r="G43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XFC35"/>
  <sheetViews>
    <sheetView showGridLines="0" topLeftCell="B6" zoomScale="85" zoomScaleNormal="85" workbookViewId="0">
      <selection activeCell="F9" sqref="F9"/>
    </sheetView>
  </sheetViews>
  <sheetFormatPr defaultColWidth="8.88671875" defaultRowHeight="14.4" zeroHeight="1" x14ac:dyDescent="0.3"/>
  <cols>
    <col min="1" max="1" width="8.88671875" hidden="1" customWidth="1"/>
    <col min="2" max="2" width="8.88671875" customWidth="1"/>
    <col min="3" max="3" width="26.21875" customWidth="1"/>
    <col min="4" max="4" width="0.6640625" customWidth="1"/>
    <col min="5" max="5" width="3.77734375" customWidth="1"/>
    <col min="6" max="6" width="35.33203125" customWidth="1"/>
    <col min="7" max="9" width="8.88671875" customWidth="1"/>
    <col min="10" max="10" width="8.88671875" hidden="1"/>
    <col min="11" max="11" width="0" hidden="1"/>
    <col min="12" max="16382" width="8.88671875" hidden="1"/>
    <col min="16383" max="16383" width="16.5546875" customWidth="1"/>
    <col min="16384" max="16384" width="8.88671875" customWidth="1"/>
  </cols>
  <sheetData>
    <row r="3" spans="2:11 16383:16383" x14ac:dyDescent="0.3">
      <c r="B3" s="1" t="s">
        <v>2</v>
      </c>
    </row>
    <row r="4" spans="2:11 16383:16383" x14ac:dyDescent="0.3">
      <c r="B4" s="1" t="s">
        <v>20</v>
      </c>
    </row>
    <row r="5" spans="2:11 16383:16383" x14ac:dyDescent="0.3">
      <c r="B5" s="4"/>
      <c r="C5" s="4"/>
      <c r="D5" s="4"/>
      <c r="E5" s="4"/>
      <c r="F5" s="4"/>
      <c r="G5" s="4"/>
      <c r="H5" s="4"/>
      <c r="I5" s="4"/>
      <c r="J5" s="4"/>
    </row>
    <row r="6" spans="2:11 16383:16383" ht="14.4" customHeight="1" x14ac:dyDescent="0.3">
      <c r="B6" s="6"/>
      <c r="C6" s="20" t="s">
        <v>22</v>
      </c>
      <c r="D6" s="20"/>
      <c r="E6" s="20"/>
      <c r="F6" s="20"/>
      <c r="G6" s="20"/>
      <c r="H6" s="20"/>
      <c r="I6" s="20"/>
      <c r="J6" s="4"/>
    </row>
    <row r="7" spans="2:11 16383:16383" ht="11.4" customHeight="1" x14ac:dyDescent="0.3">
      <c r="B7" s="6"/>
      <c r="C7" s="20"/>
      <c r="D7" s="20"/>
      <c r="E7" s="20"/>
      <c r="F7" s="20"/>
      <c r="G7" s="20"/>
      <c r="H7" s="20"/>
      <c r="I7" s="20"/>
      <c r="J7" s="4"/>
    </row>
    <row r="8" spans="2:11 16383:16383" ht="16.8" customHeight="1" thickBot="1" x14ac:dyDescent="0.35">
      <c r="B8" s="6"/>
      <c r="C8" s="7"/>
      <c r="D8" s="7"/>
      <c r="E8" s="7"/>
      <c r="F8" s="7"/>
      <c r="G8" s="7"/>
      <c r="H8" s="7"/>
      <c r="I8" s="7"/>
      <c r="J8" s="4"/>
    </row>
    <row r="9" spans="2:11 16383:16383" ht="18" customHeight="1" thickBot="1" x14ac:dyDescent="0.35">
      <c r="B9" s="6"/>
      <c r="C9" s="11" t="s">
        <v>44</v>
      </c>
      <c r="D9" s="7"/>
      <c r="E9" s="7"/>
      <c r="F9" s="17"/>
      <c r="G9" s="7"/>
      <c r="H9" s="7"/>
      <c r="I9" s="7"/>
      <c r="J9" s="4"/>
    </row>
    <row r="10" spans="2:11 16383:16383" x14ac:dyDescent="0.3">
      <c r="B10" s="8"/>
      <c r="C10" s="6"/>
      <c r="D10" s="6"/>
      <c r="E10" s="6"/>
      <c r="F10" s="6"/>
      <c r="G10" s="6"/>
      <c r="H10" s="6"/>
      <c r="I10" s="6"/>
      <c r="J10" s="4"/>
      <c r="K10" t="s">
        <v>31</v>
      </c>
    </row>
    <row r="11" spans="2:11 16383:16383" ht="15" thickBot="1" x14ac:dyDescent="0.35">
      <c r="B11" s="8"/>
      <c r="C11" s="6"/>
      <c r="D11" s="6"/>
      <c r="E11" s="6"/>
      <c r="F11" s="6"/>
      <c r="G11" s="6"/>
      <c r="H11" s="6"/>
      <c r="I11" s="6"/>
      <c r="J11" s="4"/>
    </row>
    <row r="12" spans="2:11 16383:16383" ht="18.600000000000001" thickBot="1" x14ac:dyDescent="0.35">
      <c r="B12" s="8"/>
      <c r="C12" s="11" t="s">
        <v>34</v>
      </c>
      <c r="D12" s="6"/>
      <c r="E12" s="6"/>
      <c r="F12" s="14"/>
      <c r="G12" s="6"/>
      <c r="H12" s="6"/>
      <c r="I12" s="6"/>
      <c r="J12" s="4"/>
      <c r="K12" t="s">
        <v>32</v>
      </c>
    </row>
    <row r="13" spans="2:11 16383:16383" ht="18" thickBot="1" x14ac:dyDescent="0.4">
      <c r="B13" s="8"/>
      <c r="C13" s="12"/>
      <c r="D13" s="6"/>
      <c r="E13" s="6"/>
      <c r="F13" s="10"/>
      <c r="G13" s="6"/>
      <c r="H13" s="6"/>
      <c r="I13" s="6"/>
      <c r="J13" s="4"/>
      <c r="K13" t="s">
        <v>33</v>
      </c>
    </row>
    <row r="14" spans="2:11 16383:16383" ht="18" thickBot="1" x14ac:dyDescent="0.35">
      <c r="B14" s="8"/>
      <c r="C14" s="11" t="s">
        <v>35</v>
      </c>
      <c r="D14" s="6"/>
      <c r="E14" s="6"/>
      <c r="F14" s="15"/>
      <c r="G14" s="6"/>
      <c r="H14" s="6"/>
      <c r="I14" s="6"/>
      <c r="J14" s="4"/>
      <c r="XFC14" t="s">
        <v>42</v>
      </c>
    </row>
    <row r="15" spans="2:11 16383:16383" ht="18" thickBot="1" x14ac:dyDescent="0.4">
      <c r="B15" s="8"/>
      <c r="C15" s="12"/>
      <c r="D15" s="6"/>
      <c r="E15" s="6"/>
      <c r="F15" s="10"/>
      <c r="G15" s="6"/>
      <c r="H15" s="6"/>
      <c r="I15" s="6"/>
      <c r="J15" s="4"/>
    </row>
    <row r="16" spans="2:11 16383:16383" ht="18.600000000000001" thickBot="1" x14ac:dyDescent="0.35">
      <c r="B16" s="8"/>
      <c r="C16" s="11" t="s">
        <v>36</v>
      </c>
      <c r="D16" s="6"/>
      <c r="E16" s="6"/>
      <c r="F16" s="13"/>
      <c r="G16" s="6"/>
      <c r="H16" s="6"/>
      <c r="I16" s="6"/>
      <c r="J16" s="4"/>
    </row>
    <row r="17" spans="2:10" ht="18" thickBot="1" x14ac:dyDescent="0.35">
      <c r="B17" s="8"/>
      <c r="C17" s="11"/>
      <c r="D17" s="6"/>
      <c r="E17" s="6"/>
      <c r="F17" s="10"/>
      <c r="G17" s="6"/>
      <c r="H17" s="6"/>
      <c r="I17" s="6"/>
      <c r="J17" s="4"/>
    </row>
    <row r="18" spans="2:10" ht="18.600000000000001" thickBot="1" x14ac:dyDescent="0.35">
      <c r="B18" s="8"/>
      <c r="C18" s="11" t="s">
        <v>37</v>
      </c>
      <c r="D18" s="6"/>
      <c r="E18" s="6"/>
      <c r="F18" s="13"/>
      <c r="G18" s="6"/>
      <c r="H18" s="6"/>
      <c r="I18" s="6"/>
      <c r="J18" s="4"/>
    </row>
    <row r="19" spans="2:10" ht="18" thickBot="1" x14ac:dyDescent="0.35">
      <c r="B19" s="8"/>
      <c r="C19" s="11"/>
      <c r="D19" s="6"/>
      <c r="E19" s="6"/>
      <c r="F19" s="10"/>
      <c r="G19" s="6"/>
      <c r="H19" s="6"/>
      <c r="I19" s="6"/>
      <c r="J19" s="4"/>
    </row>
    <row r="20" spans="2:10" ht="18" thickBot="1" x14ac:dyDescent="0.35">
      <c r="B20" s="8"/>
      <c r="C20" s="11" t="s">
        <v>38</v>
      </c>
      <c r="D20" s="6"/>
      <c r="E20" s="6"/>
      <c r="F20" s="16"/>
      <c r="G20" s="6"/>
      <c r="H20" s="6"/>
      <c r="I20" s="6"/>
      <c r="J20" s="4"/>
    </row>
    <row r="21" spans="2:10" ht="18" thickBot="1" x14ac:dyDescent="0.35">
      <c r="B21" s="8"/>
      <c r="C21" s="11"/>
      <c r="D21" s="6"/>
      <c r="E21" s="6"/>
      <c r="F21" s="10"/>
      <c r="G21" s="6"/>
      <c r="H21" s="6"/>
      <c r="I21" s="6"/>
      <c r="J21" s="4"/>
    </row>
    <row r="22" spans="2:10" ht="18" thickBot="1" x14ac:dyDescent="0.35">
      <c r="B22" s="8"/>
      <c r="C22" s="11" t="s">
        <v>39</v>
      </c>
      <c r="D22" s="6"/>
      <c r="E22" s="6"/>
      <c r="F22" s="15"/>
      <c r="G22" s="6"/>
      <c r="H22" s="6"/>
      <c r="I22" s="6"/>
      <c r="J22" s="4"/>
    </row>
    <row r="23" spans="2:10" ht="18" thickBot="1" x14ac:dyDescent="0.35">
      <c r="B23" s="8"/>
      <c r="C23" s="11"/>
      <c r="D23" s="6"/>
      <c r="E23" s="6"/>
      <c r="F23" s="10"/>
      <c r="G23" s="6"/>
      <c r="H23" s="6"/>
      <c r="I23" s="6"/>
      <c r="J23" s="4"/>
    </row>
    <row r="24" spans="2:10" ht="18" thickBot="1" x14ac:dyDescent="0.35">
      <c r="B24" s="8"/>
      <c r="C24" s="11" t="s">
        <v>40</v>
      </c>
      <c r="D24" s="6"/>
      <c r="E24" s="6"/>
      <c r="F24" s="15"/>
      <c r="G24" s="6"/>
      <c r="H24" s="6"/>
      <c r="I24" s="6"/>
      <c r="J24" s="4"/>
    </row>
    <row r="25" spans="2:10" ht="18" thickBot="1" x14ac:dyDescent="0.35">
      <c r="B25" s="8"/>
      <c r="C25" s="11"/>
      <c r="D25" s="6"/>
      <c r="E25" s="6"/>
      <c r="F25" s="10"/>
      <c r="G25" s="6"/>
      <c r="H25" s="6"/>
      <c r="I25" s="6"/>
      <c r="J25" s="4"/>
    </row>
    <row r="26" spans="2:10" ht="18" thickBot="1" x14ac:dyDescent="0.35">
      <c r="B26" s="8"/>
      <c r="C26" s="11" t="s">
        <v>41</v>
      </c>
      <c r="D26" s="6"/>
      <c r="E26" s="6"/>
      <c r="F26" s="15"/>
      <c r="G26" s="6"/>
      <c r="H26" s="6"/>
      <c r="I26" s="6"/>
      <c r="J26" s="4"/>
    </row>
    <row r="27" spans="2:10" x14ac:dyDescent="0.3">
      <c r="B27" s="8"/>
      <c r="C27" s="6"/>
      <c r="D27" s="6"/>
      <c r="E27" s="6"/>
      <c r="F27" s="6"/>
      <c r="G27" s="6"/>
      <c r="H27" s="6"/>
      <c r="I27" s="6"/>
      <c r="J27" s="4"/>
    </row>
    <row r="28" spans="2:10" x14ac:dyDescent="0.3">
      <c r="B28" s="8"/>
      <c r="C28" s="6"/>
      <c r="D28" s="6"/>
      <c r="E28" s="6"/>
      <c r="F28" s="6"/>
      <c r="G28" s="6"/>
      <c r="H28" s="6"/>
      <c r="I28" s="6"/>
      <c r="J28" s="4"/>
    </row>
    <row r="29" spans="2:10" x14ac:dyDescent="0.3">
      <c r="B29" s="8"/>
      <c r="C29" s="6"/>
      <c r="D29" s="6"/>
      <c r="E29" s="6"/>
      <c r="F29" s="6"/>
      <c r="G29" s="6"/>
      <c r="H29" s="6"/>
      <c r="I29" s="6"/>
      <c r="J29" s="4"/>
    </row>
    <row r="30" spans="2:10" hidden="1" x14ac:dyDescent="0.3">
      <c r="B30" s="5"/>
      <c r="C30" s="4"/>
      <c r="D30" s="4"/>
      <c r="E30" s="4"/>
      <c r="F30" s="4"/>
      <c r="G30" s="4"/>
      <c r="H30" s="4"/>
      <c r="I30" s="4"/>
      <c r="J30" s="4"/>
    </row>
    <row r="31" spans="2:10" hidden="1" x14ac:dyDescent="0.3">
      <c r="B31" s="5"/>
      <c r="C31" s="4"/>
      <c r="D31" s="4"/>
      <c r="E31" s="4"/>
      <c r="F31" s="4"/>
      <c r="G31" s="4"/>
      <c r="H31" s="4"/>
      <c r="I31" s="4"/>
      <c r="J31" s="4"/>
    </row>
    <row r="33" x14ac:dyDescent="0.3"/>
    <row r="34" x14ac:dyDescent="0.3"/>
    <row r="35" x14ac:dyDescent="0.3"/>
  </sheetData>
  <mergeCells count="1">
    <mergeCell ref="C6:I7"/>
  </mergeCells>
  <dataValidations count="3">
    <dataValidation type="list" allowBlank="1" showInputMessage="1" showErrorMessage="1" sqref="F16" xr:uid="{99DA88EC-A00A-4BC2-B572-0906A63E021B}">
      <formula1>"MALE,FEMALE"</formula1>
    </dataValidation>
    <dataValidation type="list" allowBlank="1" showInputMessage="1" showErrorMessage="1" sqref="F22" xr:uid="{7CE85F7C-A1F3-4074-A138-780956F4E67D}">
      <formula1>"DA,DS,DA+DS"</formula1>
    </dataValidation>
    <dataValidation type="list" allowBlank="1" showInputMessage="1" showErrorMessage="1" sqref="F24" xr:uid="{8784498C-B0BF-4A17-88D9-F2FA0B1784CF}">
      <formula1>"ONLINE,OFFLINE"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E8ED3-CA77-4E33-ABD9-F86CECDF0559}">
  <sheetPr codeName="Sheet3"/>
  <dimension ref="A1:I2"/>
  <sheetViews>
    <sheetView workbookViewId="0">
      <selection activeCell="A3" sqref="A3:I3"/>
    </sheetView>
  </sheetViews>
  <sheetFormatPr defaultRowHeight="14.4" x14ac:dyDescent="0.3"/>
  <cols>
    <col min="1" max="1" width="23.5546875" style="18" customWidth="1"/>
    <col min="2" max="2" width="18.109375" style="18" customWidth="1"/>
    <col min="3" max="4" width="8.88671875" style="18"/>
    <col min="5" max="5" width="17" style="18" customWidth="1"/>
    <col min="6" max="6" width="34.77734375" style="18" customWidth="1"/>
    <col min="7" max="7" width="10.33203125" style="18" customWidth="1"/>
    <col min="8" max="8" width="8.88671875" style="18"/>
    <col min="9" max="9" width="24.88671875" style="18" customWidth="1"/>
  </cols>
  <sheetData>
    <row r="1" spans="1:9" ht="23.4" customHeight="1" x14ac:dyDescent="0.3">
      <c r="A1" s="9" t="s">
        <v>43</v>
      </c>
      <c r="B1" s="9" t="s">
        <v>23</v>
      </c>
      <c r="C1" s="9" t="s">
        <v>24</v>
      </c>
      <c r="D1" s="9" t="s">
        <v>25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</row>
    <row r="2" spans="1:9" x14ac:dyDescent="0.3">
      <c r="A2" s="18" t="s">
        <v>45</v>
      </c>
      <c r="B2" s="18" t="s">
        <v>46</v>
      </c>
      <c r="C2" s="18" t="s">
        <v>45</v>
      </c>
      <c r="D2" s="18" t="s">
        <v>47</v>
      </c>
      <c r="E2" s="18" t="s">
        <v>48</v>
      </c>
      <c r="F2" s="18" t="s">
        <v>49</v>
      </c>
      <c r="G2" s="18" t="s">
        <v>31</v>
      </c>
      <c r="H2" s="18" t="s">
        <v>50</v>
      </c>
      <c r="I2" s="18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Record Macro</vt:lpstr>
      <vt:lpstr>Joinee_Form</vt:lpstr>
      <vt:lpstr>Joinee_Database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sneha shinde</cp:lastModifiedBy>
  <dcterms:created xsi:type="dcterms:W3CDTF">2015-06-05T18:17:20Z</dcterms:created>
  <dcterms:modified xsi:type="dcterms:W3CDTF">2023-02-02T02:54:18Z</dcterms:modified>
</cp:coreProperties>
</file>